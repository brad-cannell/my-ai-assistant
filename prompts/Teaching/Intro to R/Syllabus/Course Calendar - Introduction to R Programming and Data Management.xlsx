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Modules start on Monday and end on Sunday of each week.</t>
      </text>
    </comment>
    <comment authorId="0" ref="D3">
      <text>
        <t xml:space="preserve">COL is due each week by Friday at 11:59 PM.
Fall 24: Virtual office hours on Thursday from 11-12. Go over the previous week's lab. Go over any questions they have about this week's materials so far.</t>
      </text>
    </comment>
    <comment authorId="0" ref="E3">
      <text>
        <t xml:space="preserve">Lab is due each week by Friday at 11:59 PM.</t>
      </text>
    </comment>
    <comment authorId="0" ref="F3">
      <text>
        <t xml:space="preserve">Module quiz is due each week by Sunday at 11:59 PM. Graded.</t>
      </text>
    </comment>
  </commentList>
</comments>
</file>

<file path=xl/sharedStrings.xml><?xml version="1.0" encoding="utf-8"?>
<sst xmlns="http://schemas.openxmlformats.org/spreadsheetml/2006/main" count="22" uniqueCount="22">
  <si>
    <t>Course Calendar</t>
  </si>
  <si>
    <t>PHW2998 - Introduction to R Programming for Epidemiologic Research</t>
  </si>
  <si>
    <t>Module</t>
  </si>
  <si>
    <t>Week</t>
  </si>
  <si>
    <t>Topic(s)</t>
  </si>
  <si>
    <t>Check on Learning Quiz Due</t>
  </si>
  <si>
    <t>Lab Due</t>
  </si>
  <si>
    <t>Module Quiz Due</t>
  </si>
  <si>
    <t>Getting started</t>
  </si>
  <si>
    <t>Coding tools and best practices</t>
  </si>
  <si>
    <t>Descriptive analysis I</t>
  </si>
  <si>
    <t>Data transfer</t>
  </si>
  <si>
    <t>Descriptive analysis II</t>
  </si>
  <si>
    <t>Data management basics</t>
  </si>
  <si>
    <t>Working with non-standard data</t>
  </si>
  <si>
    <t>Conditional operations</t>
  </si>
  <si>
    <t>Working with multiple data frames</t>
  </si>
  <si>
    <t>Restructuring data frames</t>
  </si>
  <si>
    <t>Repeated operations I</t>
  </si>
  <si>
    <t>Repeated operations II</t>
  </si>
  <si>
    <t>Effectively presenting results</t>
  </si>
  <si>
    <t>Grades due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</si>
</sst>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-&quot;dd&quot;-&quot;yyyy"/>
    <numFmt numFmtId="165" formatCode="mm/dd/yyyy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center" readingOrder="0"/>
    </xf>
    <xf borderId="0" fillId="3" fontId="3" numFmtId="165" xfId="0" applyAlignment="1" applyFill="1" applyFont="1" applyNumberFormat="1">
      <alignment horizontal="center" readingOrder="0"/>
    </xf>
    <xf borderId="0" fillId="4" fontId="0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45.13"/>
    <col customWidth="1" min="4" max="4" width="23.13"/>
    <col customWidth="1" min="5" max="6" width="17.13"/>
  </cols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>
      <c r="A4" s="3">
        <v>1.0</v>
      </c>
      <c r="B4" s="4">
        <v>45431.0</v>
      </c>
      <c r="C4" s="5" t="s">
        <v>8</v>
      </c>
      <c r="D4" s="6">
        <f t="shared" ref="D4:D15" si="1">B4+4</f>
        <v>45435</v>
      </c>
      <c r="E4" s="6"/>
      <c r="F4" s="7"/>
    </row>
    <row r="5">
      <c r="A5" s="3">
        <v>2.0</v>
      </c>
      <c r="B5" s="4">
        <f t="shared" ref="B5:B16" si="2">B4+7</f>
        <v>45438</v>
      </c>
      <c r="C5" s="5" t="s">
        <v>9</v>
      </c>
      <c r="D5" s="6">
        <f t="shared" si="1"/>
        <v>45442</v>
      </c>
      <c r="E5" s="6">
        <f t="shared" ref="E5:E15" si="3">D5</f>
        <v>45442</v>
      </c>
      <c r="F5" s="6">
        <f t="shared" ref="F5:F15" si="4">B5+6</f>
        <v>45444</v>
      </c>
    </row>
    <row r="6">
      <c r="A6" s="3">
        <v>3.0</v>
      </c>
      <c r="B6" s="4">
        <f t="shared" si="2"/>
        <v>45445</v>
      </c>
      <c r="C6" s="5" t="s">
        <v>10</v>
      </c>
      <c r="D6" s="6">
        <f t="shared" si="1"/>
        <v>45449</v>
      </c>
      <c r="E6" s="6">
        <f t="shared" si="3"/>
        <v>45449</v>
      </c>
      <c r="F6" s="6">
        <f t="shared" si="4"/>
        <v>45451</v>
      </c>
    </row>
    <row r="7">
      <c r="A7" s="3">
        <v>4.0</v>
      </c>
      <c r="B7" s="4">
        <f t="shared" si="2"/>
        <v>45452</v>
      </c>
      <c r="C7" s="5" t="s">
        <v>11</v>
      </c>
      <c r="D7" s="6">
        <f t="shared" si="1"/>
        <v>45456</v>
      </c>
      <c r="E7" s="6">
        <f t="shared" si="3"/>
        <v>45456</v>
      </c>
      <c r="F7" s="6">
        <f t="shared" si="4"/>
        <v>45458</v>
      </c>
    </row>
    <row r="8">
      <c r="A8" s="3">
        <v>5.0</v>
      </c>
      <c r="B8" s="4">
        <f t="shared" si="2"/>
        <v>45459</v>
      </c>
      <c r="C8" s="8" t="s">
        <v>12</v>
      </c>
      <c r="D8" s="6">
        <f t="shared" si="1"/>
        <v>45463</v>
      </c>
      <c r="E8" s="6">
        <f t="shared" si="3"/>
        <v>45463</v>
      </c>
      <c r="F8" s="6">
        <f t="shared" si="4"/>
        <v>45465</v>
      </c>
    </row>
    <row r="9">
      <c r="A9" s="3">
        <v>6.0</v>
      </c>
      <c r="B9" s="4">
        <f t="shared" si="2"/>
        <v>45466</v>
      </c>
      <c r="C9" s="5" t="s">
        <v>13</v>
      </c>
      <c r="D9" s="6">
        <f t="shared" si="1"/>
        <v>45470</v>
      </c>
      <c r="E9" s="6">
        <f t="shared" si="3"/>
        <v>45470</v>
      </c>
      <c r="F9" s="6">
        <f t="shared" si="4"/>
        <v>45472</v>
      </c>
    </row>
    <row r="10">
      <c r="A10" s="3">
        <v>7.0</v>
      </c>
      <c r="B10" s="4">
        <f t="shared" si="2"/>
        <v>45473</v>
      </c>
      <c r="C10" s="5" t="s">
        <v>14</v>
      </c>
      <c r="D10" s="6">
        <f t="shared" si="1"/>
        <v>45477</v>
      </c>
      <c r="E10" s="6">
        <f t="shared" si="3"/>
        <v>45477</v>
      </c>
      <c r="F10" s="6">
        <f t="shared" si="4"/>
        <v>45479</v>
      </c>
    </row>
    <row r="11">
      <c r="A11" s="3">
        <v>8.0</v>
      </c>
      <c r="B11" s="4">
        <f t="shared" si="2"/>
        <v>45480</v>
      </c>
      <c r="C11" s="9" t="s">
        <v>15</v>
      </c>
      <c r="D11" s="6">
        <f t="shared" si="1"/>
        <v>45484</v>
      </c>
      <c r="E11" s="6">
        <f t="shared" si="3"/>
        <v>45484</v>
      </c>
      <c r="F11" s="6">
        <f t="shared" si="4"/>
        <v>45486</v>
      </c>
    </row>
    <row r="12">
      <c r="A12" s="3">
        <v>9.0</v>
      </c>
      <c r="B12" s="4">
        <f t="shared" si="2"/>
        <v>45487</v>
      </c>
      <c r="C12" s="9" t="s">
        <v>16</v>
      </c>
      <c r="D12" s="6">
        <f t="shared" si="1"/>
        <v>45491</v>
      </c>
      <c r="E12" s="6">
        <f t="shared" si="3"/>
        <v>45491</v>
      </c>
      <c r="F12" s="6">
        <f t="shared" si="4"/>
        <v>45493</v>
      </c>
    </row>
    <row r="13">
      <c r="A13" s="3">
        <v>10.0</v>
      </c>
      <c r="B13" s="4">
        <f t="shared" si="2"/>
        <v>45494</v>
      </c>
      <c r="C13" s="5" t="s">
        <v>17</v>
      </c>
      <c r="D13" s="6">
        <f t="shared" si="1"/>
        <v>45498</v>
      </c>
      <c r="E13" s="6">
        <f t="shared" si="3"/>
        <v>45498</v>
      </c>
      <c r="F13" s="6">
        <f t="shared" si="4"/>
        <v>45500</v>
      </c>
    </row>
    <row r="14">
      <c r="A14" s="3">
        <v>11.0</v>
      </c>
      <c r="B14" s="4">
        <f t="shared" si="2"/>
        <v>45501</v>
      </c>
      <c r="C14" s="10" t="s">
        <v>18</v>
      </c>
      <c r="D14" s="6">
        <f t="shared" si="1"/>
        <v>45505</v>
      </c>
      <c r="E14" s="6">
        <f t="shared" si="3"/>
        <v>45505</v>
      </c>
      <c r="F14" s="6">
        <f t="shared" si="4"/>
        <v>45507</v>
      </c>
    </row>
    <row r="15">
      <c r="A15" s="3">
        <v>12.0</v>
      </c>
      <c r="B15" s="4">
        <f t="shared" si="2"/>
        <v>45508</v>
      </c>
      <c r="C15" s="5" t="s">
        <v>19</v>
      </c>
      <c r="D15" s="6">
        <f t="shared" si="1"/>
        <v>45512</v>
      </c>
      <c r="E15" s="6">
        <f t="shared" si="3"/>
        <v>45512</v>
      </c>
      <c r="F15" s="6">
        <f t="shared" si="4"/>
        <v>45514</v>
      </c>
    </row>
    <row r="16">
      <c r="A16" s="3">
        <v>13.0</v>
      </c>
      <c r="B16" s="4">
        <f t="shared" si="2"/>
        <v>45515</v>
      </c>
      <c r="C16" s="10" t="s">
        <v>20</v>
      </c>
      <c r="D16" s="7"/>
      <c r="E16" s="7"/>
      <c r="F16" s="7"/>
    </row>
    <row r="17">
      <c r="A17" s="3"/>
      <c r="B17" s="4">
        <v>45523.0</v>
      </c>
      <c r="C17" s="11" t="s">
        <v>21</v>
      </c>
      <c r="D17" s="7"/>
      <c r="E17" s="7"/>
      <c r="F17" s="7"/>
    </row>
  </sheetData>
  <mergeCells count="2">
    <mergeCell ref="A1:F1"/>
    <mergeCell ref="A2:F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